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Journal Entry — batch 20260101 — by department</t>
        </is>
      </c>
    </row>
    <row r="2">
      <c r="A2" t="inlineStr">
        <is>
          <t>DRAFT — built from raw payroll CSV, not a posted JE.</t>
        </is>
      </c>
    </row>
    <row r="4">
      <c r="A4" t="inlineStr">
        <is>
          <t>10 — 0010-ACCOMODATIONS</t>
        </is>
      </c>
    </row>
    <row r="5">
      <c r="A5" t="inlineStr">
        <is>
          <t>Account</t>
        </is>
      </c>
      <c r="B5" t="inlineStr">
        <is>
          <t>Debit</t>
        </is>
      </c>
      <c r="C5" t="inlineStr">
        <is>
          <t>Credit</t>
        </is>
      </c>
      <c r="D5" t="inlineStr">
        <is>
          <t>Description</t>
        </is>
      </c>
    </row>
    <row r="6">
      <c r="A6" t="inlineStr">
        <is>
          <t>6050 Wages &amp; Salaries</t>
        </is>
      </c>
      <c r="B6" t="n">
        <v>2000</v>
      </c>
      <c r="D6" t="inlineStr">
        <is>
          <t>Accommodations wages</t>
        </is>
      </c>
    </row>
    <row r="7">
      <c r="A7" t="inlineStr">
        <is>
          <t>6046 CPP Expense</t>
        </is>
      </c>
      <c r="B7" t="n">
        <v>100</v>
      </c>
      <c r="D7" t="inlineStr"/>
    </row>
    <row r="8">
      <c r="A8" t="inlineStr">
        <is>
          <t>6047 EI Expense</t>
        </is>
      </c>
      <c r="B8" t="n">
        <v>50</v>
      </c>
      <c r="D8" t="inlineStr"/>
    </row>
    <row r="9">
      <c r="A9" t="inlineStr">
        <is>
          <t>6049 Vacation expense</t>
        </is>
      </c>
      <c r="B9" t="n">
        <v>80</v>
      </c>
      <c r="D9" t="inlineStr"/>
    </row>
    <row r="10">
      <c r="A10" t="inlineStr">
        <is>
          <t>Subtotal</t>
        </is>
      </c>
      <c r="B10">
        <f>SUM(B6:B9)</f>
        <v/>
      </c>
    </row>
    <row r="12">
      <c r="A12" t="inlineStr">
        <is>
          <t>0020-1 — 0020-PINEWOODS (Salaried)</t>
        </is>
      </c>
    </row>
    <row r="13">
      <c r="A13" t="inlineStr">
        <is>
          <t>Account</t>
        </is>
      </c>
      <c r="B13" t="inlineStr">
        <is>
          <t>Debit</t>
        </is>
      </c>
      <c r="C13" t="inlineStr">
        <is>
          <t>Credit</t>
        </is>
      </c>
      <c r="D13" t="inlineStr">
        <is>
          <t>Description</t>
        </is>
      </c>
    </row>
    <row r="14">
      <c r="A14" t="inlineStr">
        <is>
          <t>6050 Wages &amp; Salaries</t>
        </is>
      </c>
      <c r="B14" t="n">
        <v>1500</v>
      </c>
      <c r="D14" t="inlineStr"/>
    </row>
    <row r="15">
      <c r="A15" t="inlineStr">
        <is>
          <t>6046 CPP Expense</t>
        </is>
      </c>
      <c r="B15" t="n">
        <v>90</v>
      </c>
      <c r="D15" t="inlineStr"/>
    </row>
    <row r="16">
      <c r="A16" t="inlineStr">
        <is>
          <t>6047 EI Expense</t>
        </is>
      </c>
      <c r="B16" t="n">
        <v>40</v>
      </c>
      <c r="D16" t="inlineStr"/>
    </row>
    <row r="17">
      <c r="A17" t="inlineStr">
        <is>
          <t>9999 Made Up Account</t>
        </is>
      </c>
      <c r="B17" t="n">
        <v>25</v>
      </c>
      <c r="D17" t="inlineStr">
        <is>
          <t>deliberately unmapped</t>
        </is>
      </c>
    </row>
    <row r="18">
      <c r="A18" t="inlineStr">
        <is>
          <t>Subtotal</t>
        </is>
      </c>
      <c r="B18">
        <f>SUM(B14:B17)</f>
        <v/>
      </c>
    </row>
    <row r="20">
      <c r="A20" t="inlineStr">
        <is>
          <t>97 — 0097-INFORMATION TECHNOLOGY</t>
        </is>
      </c>
    </row>
    <row r="21">
      <c r="A21" t="inlineStr">
        <is>
          <t>Account</t>
        </is>
      </c>
      <c r="B21" t="inlineStr">
        <is>
          <t>Debit</t>
        </is>
      </c>
      <c r="C21" t="inlineStr">
        <is>
          <t>Credit</t>
        </is>
      </c>
      <c r="D21" t="inlineStr">
        <is>
          <t>Description</t>
        </is>
      </c>
    </row>
    <row r="22">
      <c r="A22" t="inlineStr">
        <is>
          <t>6050 Wages &amp; Salaries</t>
        </is>
      </c>
      <c r="B22" t="n">
        <v>2800</v>
      </c>
      <c r="D22" t="inlineStr"/>
    </row>
    <row r="23">
      <c r="A23" t="inlineStr">
        <is>
          <t>6046 CPP Expense</t>
        </is>
      </c>
      <c r="B23" t="n">
        <v>200</v>
      </c>
      <c r="D23" t="inlineStr"/>
    </row>
    <row r="24">
      <c r="A24" t="inlineStr">
        <is>
          <t>6047 EI Expense</t>
        </is>
      </c>
      <c r="B24" t="n">
        <v>100</v>
      </c>
      <c r="D24" t="inlineStr"/>
    </row>
    <row r="25">
      <c r="A25" t="inlineStr">
        <is>
          <t>6044 Tips &amp; Gratuities</t>
        </is>
      </c>
      <c r="B25" t="n">
        <v>15</v>
      </c>
      <c r="D25" t="inlineStr"/>
    </row>
    <row r="26">
      <c r="A26" t="inlineStr">
        <is>
          <t>Subtotal</t>
        </is>
      </c>
      <c r="B26">
        <f>SUM(B22:B25)</f>
        <v/>
      </c>
    </row>
    <row r="28">
      <c r="A28" t="inlineStr">
        <is>
          <t>Department grand total</t>
        </is>
      </c>
      <c r="B28">
        <f>B10+B18+B26</f>
        <v/>
      </c>
    </row>
    <row r="30">
      <c r="A30" t="inlineStr">
        <is>
          <t>Company-wide closing entries</t>
        </is>
      </c>
    </row>
    <row r="31">
      <c r="A31" t="inlineStr">
        <is>
          <t>Account</t>
        </is>
      </c>
      <c r="B31" t="inlineStr">
        <is>
          <t>Debit</t>
        </is>
      </c>
      <c r="C31" t="inlineStr">
        <is>
          <t>Credit</t>
        </is>
      </c>
      <c r="D31" t="inlineStr">
        <is>
          <t>Description</t>
        </is>
      </c>
    </row>
    <row r="32">
      <c r="A32" t="inlineStr">
        <is>
          <t>2016 Wages Payable</t>
        </is>
      </c>
      <c r="C32" t="n">
        <v>4500</v>
      </c>
      <c r="D32" t="inlineStr">
        <is>
          <t>not yet confirmed</t>
        </is>
      </c>
    </row>
    <row r="33">
      <c r="A33" t="inlineStr">
        <is>
          <t>2017 Federal Income Tax Payable</t>
        </is>
      </c>
      <c r="C33" t="n">
        <v>1200</v>
      </c>
      <c r="D33" t="inlineStr"/>
    </row>
    <row r="34">
      <c r="A34" t="inlineStr">
        <is>
          <t>2014 CPP Payable</t>
        </is>
      </c>
      <c r="C34" t="n">
        <v>800</v>
      </c>
      <c r="D34" t="inlineStr"/>
    </row>
    <row r="35">
      <c r="A35" t="inlineStr">
        <is>
          <t>2013 EI Payable</t>
        </is>
      </c>
      <c r="C35" t="n">
        <v>400</v>
      </c>
      <c r="D35" t="inlineStr"/>
    </row>
    <row r="36">
      <c r="A36" t="inlineStr">
        <is>
          <t>2015 RRSP Payable</t>
        </is>
      </c>
      <c r="C36" t="n">
        <v>100</v>
      </c>
      <c r="D36" t="inlineStr"/>
    </row>
    <row r="37">
      <c r="A37" t="inlineStr">
        <is>
          <t>6043 Employer Health Benefits</t>
        </is>
      </c>
      <c r="C37" t="n">
        <v>0</v>
      </c>
      <c r="D37" t="inlineStr">
        <is>
          <t>known-$0 period</t>
        </is>
      </c>
    </row>
    <row r="38">
      <c r="A38" t="inlineStr">
        <is>
          <t>Closing total</t>
        </is>
      </c>
      <c r="C38">
        <f>SUM(C32:C37)</f>
        <v/>
      </c>
    </row>
    <row r="40">
      <c r="A40" t="inlineStr">
        <is>
          <t>Combined grand total</t>
        </is>
      </c>
      <c r="B40">
        <f>B28</f>
        <v/>
      </c>
      <c r="C40">
        <f>C38</f>
        <v/>
      </c>
    </row>
    <row r="41">
      <c r="A41" t="inlineStr">
        <is>
          <t>Check (Debit - Credit, must be $0.00)</t>
        </is>
      </c>
      <c r="B41">
        <f>B28-C38</f>
        <v/>
      </c>
    </row>
    <row r="43">
      <c r="A43" t="inlineStr">
        <is>
          <t>NOTES — READ BEFORE POSTING</t>
        </is>
      </c>
    </row>
    <row r="44">
      <c r="A44" t="inlineStr">
        <is>
          <t>1. Employer Health Benefits confirmed $0 this period.</t>
        </is>
      </c>
    </row>
    <row r="45">
      <c r="A45" t="inlineStr">
        <is>
          <t>2. Bank confirmation: not yet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2026-09-18T23:54:39Z</dcterms:created>
  <dcterms:modified xsi:type="dcterms:W3CDTF">2026-09-18T23:54:39Z</dcterms:modified>
</cp:coreProperties>
</file>